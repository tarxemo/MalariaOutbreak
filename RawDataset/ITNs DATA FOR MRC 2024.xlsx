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<sst xmlns="http://schemas.openxmlformats.org/spreadsheetml/2006/main" count="22" uniqueCount="20">
  <si>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LOCATION</t>
  </si>
  <si>
    <t>EST.ITN</t>
  </si>
  <si>
    <t>ISSUED ITN</t>
  </si>
  <si>
    <t>VARIATION</t>
  </si>
  <si>
    <t>%COMPLETION</t>
  </si>
  <si>
    <t>R.HOUSEHOLDS</t>
  </si>
  <si>
    <t>ISSUED HOUS</t>
  </si>
  <si>
    <t>Chake Chake</t>
  </si>
  <si>
    <t>Micheweni</t>
  </si>
  <si>
    <t>Mkoani</t>
  </si>
  <si>
    <t>Wete</t>
  </si>
  <si>
    <t>Pemba</t>
  </si>
  <si>
    <t>Kaskazini A</t>
  </si>
  <si>
    <t>Kaskazini B</t>
  </si>
  <si>
    <t>Kati</t>
  </si>
  <si>
    <t>Magharibi A</t>
  </si>
  <si>
    <t>Magharibi B</t>
  </si>
  <si>
    <t>Mjini</t>
  </si>
  <si>
    <t>Unguja</t>
  </si>
  <si>
    <t>ZANZIBAR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</si>
</sst>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_ * #,##0.0_ ;_ * \-#,##0.0_ ;_ * &quot;-&quot;??_ ;_ @_ "/>
  </numFmts>
  <fonts count="25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78" fontId="0" fillId="0" borderId="1" xfId="1" applyNumberFormat="1" applyBorder="1" applyAlignment="1">
      <alignment horizontal="center"/>
    </xf>
    <xf numFmtId="179" fontId="0" fillId="0" borderId="1" xfId="1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78" fontId="2" fillId="0" borderId="1" xfId="1" applyNumberFormat="1" applyFont="1" applyBorder="1" applyAlignment="1">
      <alignment horizontal="center"/>
    </xf>
    <xf numFmtId="179" fontId="2" fillId="0" borderId="1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78" fontId="2" fillId="0" borderId="2" xfId="1" applyNumberFormat="1" applyFont="1" applyBorder="1" applyAlignment="1">
      <alignment horizontal="center"/>
    </xf>
    <xf numFmtId="179" fontId="2" fillId="0" borderId="2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78" fontId="0" fillId="0" borderId="1" xfId="0" applyNumberFormat="1" applyBorder="1" applyAlignment="1">
      <alignment horizontal="center"/>
    </xf>
    <xf numFmtId="179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tabSelected="1" workbookViewId="0">
      <selection activeCell="F14" sqref="F14"/>
    </sheetView>
  </sheetViews>
  <sheetFormatPr defaultColWidth="9" defaultRowHeight="14.5"/>
  <cols>
    <col min="1" max="1" width="15.2727272727273" style="4" customWidth="1"/>
    <col min="2" max="2" width="11.3636363636364" style="4" customWidth="1"/>
    <col min="3" max="3" width="16.1818181818182" style="4" customWidth="1"/>
    <col min="4" max="4" width="16.4545454545455" style="4" customWidth="1"/>
    <col min="5" max="5" width="21.9090909090909" style="4" customWidth="1"/>
    <col min="6" max="6" width="22.6363636363636" style="4" customWidth="1"/>
    <col min="7" max="7" width="11.2727272727273" style="4" customWidth="1"/>
    <col min="8" max="8" width="16.4545454545455" style="4" customWidth="1"/>
    <col min="9" max="9" width="21.9090909090909" style="4" customWidth="1"/>
    <col min="10" max="10" width="13.8181818181818" style="4" customWidth="1"/>
  </cols>
  <sheetData>
    <row r="1" s="1" customFormat="1" ht="2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3</v>
      </c>
      <c r="I1" s="5" t="s">
        <v>4</v>
      </c>
      <c r="J1" s="19"/>
    </row>
    <row r="2" spans="1:9">
      <c r="A2" s="7" t="s">
        <v>7</v>
      </c>
      <c r="B2" s="8">
        <v>87740</v>
      </c>
      <c r="C2" s="8">
        <v>87522</v>
      </c>
      <c r="D2" s="8">
        <v>-218</v>
      </c>
      <c r="E2" s="9">
        <v>99.75</v>
      </c>
      <c r="F2" s="8">
        <v>27279</v>
      </c>
      <c r="G2" s="8">
        <v>27207</v>
      </c>
      <c r="H2" s="8">
        <v>-72</v>
      </c>
      <c r="I2" s="9">
        <v>99.74</v>
      </c>
    </row>
    <row r="3" spans="1:9">
      <c r="A3" s="7" t="s">
        <v>8</v>
      </c>
      <c r="B3" s="8">
        <v>79694</v>
      </c>
      <c r="C3" s="8">
        <v>79501</v>
      </c>
      <c r="D3" s="8">
        <v>-193</v>
      </c>
      <c r="E3" s="9">
        <v>99.76</v>
      </c>
      <c r="F3" s="8">
        <v>23800</v>
      </c>
      <c r="G3" s="8">
        <v>23729</v>
      </c>
      <c r="H3" s="8">
        <v>-71</v>
      </c>
      <c r="I3" s="9">
        <v>99.7</v>
      </c>
    </row>
    <row r="4" spans="1:9">
      <c r="A4" s="7" t="s">
        <v>9</v>
      </c>
      <c r="B4" s="8">
        <v>82433</v>
      </c>
      <c r="C4" s="8">
        <v>82388</v>
      </c>
      <c r="D4" s="8">
        <v>-45</v>
      </c>
      <c r="E4" s="9">
        <v>99.95</v>
      </c>
      <c r="F4" s="8">
        <v>26075</v>
      </c>
      <c r="G4" s="8">
        <v>26039</v>
      </c>
      <c r="H4" s="8">
        <v>-36</v>
      </c>
      <c r="I4" s="9">
        <v>99.86</v>
      </c>
    </row>
    <row r="5" spans="1:9">
      <c r="A5" s="7" t="s">
        <v>10</v>
      </c>
      <c r="B5" s="8">
        <v>91520</v>
      </c>
      <c r="C5" s="8">
        <v>91484</v>
      </c>
      <c r="D5" s="8">
        <v>-36</v>
      </c>
      <c r="E5" s="9">
        <v>99.96</v>
      </c>
      <c r="F5" s="8">
        <v>28836</v>
      </c>
      <c r="G5" s="8">
        <v>28800</v>
      </c>
      <c r="H5" s="8">
        <v>-36</v>
      </c>
      <c r="I5" s="9">
        <v>99.88</v>
      </c>
    </row>
    <row r="6" s="2" customFormat="1" ht="18.5" spans="1:10">
      <c r="A6" s="10" t="s">
        <v>11</v>
      </c>
      <c r="B6" s="11">
        <v>341387</v>
      </c>
      <c r="C6" s="11">
        <v>340895</v>
      </c>
      <c r="D6" s="11">
        <v>-492</v>
      </c>
      <c r="E6" s="12">
        <v>99.86</v>
      </c>
      <c r="F6" s="11">
        <v>105990</v>
      </c>
      <c r="G6" s="11">
        <v>105775</v>
      </c>
      <c r="H6" s="11">
        <v>-215</v>
      </c>
      <c r="I6" s="12">
        <v>99.8</v>
      </c>
      <c r="J6" s="20"/>
    </row>
    <row r="7" spans="1:20">
      <c r="A7" s="7" t="s">
        <v>12</v>
      </c>
      <c r="B7" s="8">
        <v>98049</v>
      </c>
      <c r="C7" s="8">
        <v>97563</v>
      </c>
      <c r="D7" s="8">
        <v>-486</v>
      </c>
      <c r="E7" s="9">
        <v>99.5</v>
      </c>
      <c r="F7" s="8">
        <v>37088</v>
      </c>
      <c r="G7" s="8">
        <v>36978</v>
      </c>
      <c r="H7" s="8">
        <v>-110</v>
      </c>
      <c r="I7" s="9">
        <v>99.7</v>
      </c>
      <c r="J7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>
      <c r="A8" s="7" t="s">
        <v>13</v>
      </c>
      <c r="B8" s="8">
        <v>64457</v>
      </c>
      <c r="C8" s="8">
        <v>63903</v>
      </c>
      <c r="D8" s="8">
        <v>-554</v>
      </c>
      <c r="E8" s="9">
        <v>99.14</v>
      </c>
      <c r="F8" s="8">
        <v>24106</v>
      </c>
      <c r="G8" s="8">
        <v>23847</v>
      </c>
      <c r="H8" s="8">
        <v>-259</v>
      </c>
      <c r="I8" s="9">
        <v>98.93</v>
      </c>
      <c r="J8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>
      <c r="A9" s="7" t="s">
        <v>14</v>
      </c>
      <c r="B9" s="8">
        <v>77999</v>
      </c>
      <c r="C9" s="8">
        <v>77093</v>
      </c>
      <c r="D9" s="8">
        <v>-906</v>
      </c>
      <c r="E9" s="9">
        <v>98.84</v>
      </c>
      <c r="F9" s="8">
        <v>30549</v>
      </c>
      <c r="G9" s="8">
        <v>30162</v>
      </c>
      <c r="H9" s="8">
        <v>-387</v>
      </c>
      <c r="I9" s="9">
        <v>98.73</v>
      </c>
      <c r="J9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>
      <c r="A10" s="7" t="s">
        <v>15</v>
      </c>
      <c r="B10" s="8">
        <v>123578</v>
      </c>
      <c r="C10" s="8">
        <v>122328</v>
      </c>
      <c r="D10" s="8">
        <v>-1250</v>
      </c>
      <c r="E10" s="9">
        <v>98.99</v>
      </c>
      <c r="F10" s="8">
        <v>38879</v>
      </c>
      <c r="G10" s="8">
        <v>38462</v>
      </c>
      <c r="H10" s="8">
        <v>-417</v>
      </c>
      <c r="I10" s="9">
        <v>98.93</v>
      </c>
      <c r="J10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>
      <c r="A11" s="7" t="s">
        <v>16</v>
      </c>
      <c r="B11" s="8">
        <v>102682</v>
      </c>
      <c r="C11" s="8">
        <v>99372</v>
      </c>
      <c r="D11" s="8">
        <v>-3310</v>
      </c>
      <c r="E11" s="9">
        <v>96.78</v>
      </c>
      <c r="F11" s="8">
        <v>33570</v>
      </c>
      <c r="G11" s="8">
        <v>32474</v>
      </c>
      <c r="H11" s="8">
        <v>-1096</v>
      </c>
      <c r="I11" s="9">
        <v>96.74</v>
      </c>
      <c r="J11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>
      <c r="A12" s="7" t="s">
        <v>17</v>
      </c>
      <c r="B12" s="8">
        <v>57034</v>
      </c>
      <c r="C12" s="8">
        <v>56171</v>
      </c>
      <c r="D12" s="8">
        <v>-863</v>
      </c>
      <c r="E12" s="9">
        <v>98.49</v>
      </c>
      <c r="F12" s="8">
        <v>20021</v>
      </c>
      <c r="G12" s="8">
        <v>19699</v>
      </c>
      <c r="H12" s="8">
        <v>-322</v>
      </c>
      <c r="I12" s="9">
        <v>98.39</v>
      </c>
      <c r="J12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="2" customFormat="1" ht="18.5" spans="1:20">
      <c r="A13" s="13" t="s">
        <v>18</v>
      </c>
      <c r="B13" s="14">
        <v>523799</v>
      </c>
      <c r="C13" s="14">
        <v>516430</v>
      </c>
      <c r="D13" s="14">
        <v>-7369</v>
      </c>
      <c r="E13" s="15">
        <v>98.59</v>
      </c>
      <c r="F13" s="14">
        <v>184213</v>
      </c>
      <c r="G13" s="14">
        <v>181622</v>
      </c>
      <c r="H13" s="14">
        <v>-2591</v>
      </c>
      <c r="I13" s="15">
        <v>98.59</v>
      </c>
      <c r="J13" s="2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s="3" customFormat="1" spans="1:10">
      <c r="A14" s="16" t="s">
        <v>19</v>
      </c>
      <c r="B14" s="17">
        <f>B6+B13</f>
        <v>865186</v>
      </c>
      <c r="C14" s="17">
        <f>C6+C13</f>
        <v>857325</v>
      </c>
      <c r="D14" s="16"/>
      <c r="E14" s="18">
        <f>(E6+E13)/2</f>
        <v>99.225</v>
      </c>
      <c r="F14" s="16"/>
      <c r="G14" s="16"/>
      <c r="H14" s="16"/>
      <c r="I14" s="16"/>
      <c r="J14" s="16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zamep</cp:lastModifiedBy>
  <dcterms:created xsi:type="dcterms:W3CDTF">2024-10-16T09:38:00Z</dcterms:created>
  <dcterms:modified xsi:type="dcterms:W3CDTF">2024-10-16T09:51:04Z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BB1663944B4342FD93C477902E4539D2_13</vt:lpwstr>
  </property>
  <property fmtid="{D5CDD505-2E9C-101B-9397-08002B2CF9AE}" pid="3" name="KSOProductBuildVer">
    <vt:lpwstr>1033-12.2.0.18165</vt:lpwstr>
  </property>
</Properties>
</file>